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ble Projector Buying Sheet" sheetId="1" r:id="rId4"/>
    <sheet state="visible" name="Initial Notes" sheetId="2" r:id="rId5"/>
  </sheets>
  <definedNames/>
  <calcPr/>
</workbook>
</file>

<file path=xl/sharedStrings.xml><?xml version="1.0" encoding="utf-8"?>
<sst xmlns="http://schemas.openxmlformats.org/spreadsheetml/2006/main" count="49" uniqueCount="43">
  <si>
    <t>Items (for Portable 4 LED Projector)</t>
  </si>
  <si>
    <t>Link</t>
  </si>
  <si>
    <t>Price</t>
  </si>
  <si>
    <t>Notes</t>
  </si>
  <si>
    <t>DLP4500</t>
  </si>
  <si>
    <t>https://www.ekbtechnologies.com/e-store/dlp-lightcrafter-e4500-mkii-fiber-couple-on-axis-projection?options=poi-618e16b6bb351%2Ctomselect-1-opt-2%2Cpoi-5cb86ca10931d%2Ctomselect-2-opt-1%2Cpoi-5cb86ca0212dd%2Cpoi-5cb86ca026051%2Cpoi-6735e3acc6f78%2Cpoi-66584500d651e%2Cpoi-65194f98a851a</t>
  </si>
  <si>
    <t>Price w/shipping</t>
  </si>
  <si>
    <t>all 3A LEDs</t>
  </si>
  <si>
    <t>PCB components</t>
  </si>
  <si>
    <t>driver</t>
  </si>
  <si>
    <t>each led board</t>
  </si>
  <si>
    <t>electronics for a set of 4</t>
  </si>
  <si>
    <t>liquid light guide</t>
  </si>
  <si>
    <t>Lens to focus PCB light</t>
  </si>
  <si>
    <t>Total:</t>
  </si>
  <si>
    <t>Purpose</t>
  </si>
  <si>
    <t>Item</t>
  </si>
  <si>
    <t xml:space="preserve">Price </t>
  </si>
  <si>
    <t>Lead Time</t>
  </si>
  <si>
    <t>Existing Projector Insurance</t>
  </si>
  <si>
    <t>red, cyan, blue, orange</t>
  </si>
  <si>
    <t>https://www.digikey.com/short/wfrpm4w3</t>
  </si>
  <si>
    <t>All available</t>
  </si>
  <si>
    <t>Notes:</t>
  </si>
  <si>
    <t>Thorlabs End Caps</t>
  </si>
  <si>
    <t xml:space="preserve">ben said he can melt the LEDs off the end caps </t>
  </si>
  <si>
    <t>1. assembly time</t>
  </si>
  <si>
    <r>
      <rPr>
        <rFont val="Arial"/>
        <color theme="1"/>
        <u/>
      </rPr>
      <t>deadline</t>
    </r>
    <r>
      <rPr>
        <rFont val="Arial"/>
        <color theme="1"/>
      </rPr>
      <t>: want a working projector finished by february</t>
    </r>
  </si>
  <si>
    <t>2. all parts bought</t>
  </si>
  <si>
    <t>3. debugging</t>
  </si>
  <si>
    <t>12 LED Projector</t>
  </si>
  <si>
    <t>all 3A leds X3</t>
  </si>
  <si>
    <t>Portable Projector (Will be brighter) 8 and 4 will still be just as bright</t>
  </si>
  <si>
    <t>2 (will / ren's lab)</t>
  </si>
  <si>
    <t>dlp4500</t>
  </si>
  <si>
    <t>https://www.ekbtechnologies.com/e-store/dlp-lightcrafter-e4500-mkii-fiber-couple-on-axis-projection</t>
  </si>
  <si>
    <t>stencils only buy once</t>
  </si>
  <si>
    <t>electronics for a set of 12</t>
  </si>
  <si>
    <t>cube</t>
  </si>
  <si>
    <t>one projector, 2 cubes</t>
  </si>
  <si>
    <t>no need for cube, dichroic mirror cost</t>
  </si>
  <si>
    <t xml:space="preserve">two lens </t>
  </si>
  <si>
    <t>portable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</si>
</sst>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kbtechnologies.com/e-store/dlp-lightcrafter-e4500-mkii-fiber-couple-on-axis-projection?options=poi-618e16b6bb351%2Ctomselect-1-opt-2%2Cpoi-5cb86ca10931d%2Ctomselect-2-opt-1%2Cpoi-5cb86ca0212dd%2Cpoi-5cb86ca026051%2Cpoi-6735e3acc6f78%2Cpoi-66584500d651e%2Cpoi-65194f98a851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om/short/wfrpm4w3" TargetMode="External"/><Relationship Id="rId2" Type="http://schemas.openxmlformats.org/officeDocument/2006/relationships/hyperlink" Target="https://www.ekbtechnologies.com/e-store/dlp-lightcrafter-e4500-mkii-fiber-couple-on-axis-projection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25"/>
    <col customWidth="1" min="3" max="3" width="8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 t="s">
        <v>5</v>
      </c>
      <c r="C2" s="6">
        <f>2499 + 120</f>
        <v>2619</v>
      </c>
      <c r="D2" s="4" t="s">
        <v>6</v>
      </c>
    </row>
    <row r="3">
      <c r="A3" s="4" t="s">
        <v>7</v>
      </c>
      <c r="C3" s="7">
        <v>12.0</v>
      </c>
    </row>
    <row r="4">
      <c r="A4" s="4" t="s">
        <v>8</v>
      </c>
      <c r="C4" s="7">
        <v>26.0</v>
      </c>
    </row>
    <row r="5">
      <c r="A5" s="4" t="s">
        <v>9</v>
      </c>
      <c r="C5" s="7">
        <v>4.0</v>
      </c>
    </row>
    <row r="6">
      <c r="A6" s="4" t="s">
        <v>10</v>
      </c>
      <c r="C6" s="6">
        <v>4.0</v>
      </c>
    </row>
    <row r="7">
      <c r="A7" s="4" t="s">
        <v>11</v>
      </c>
      <c r="C7" s="7">
        <v>50.0</v>
      </c>
    </row>
    <row r="8">
      <c r="A8" s="4" t="s">
        <v>12</v>
      </c>
      <c r="C8" s="7">
        <v>500.0</v>
      </c>
    </row>
    <row r="9">
      <c r="A9" s="4" t="s">
        <v>13</v>
      </c>
      <c r="C9" s="6"/>
    </row>
    <row r="10">
      <c r="C10" s="6"/>
    </row>
    <row r="11">
      <c r="B11" s="4" t="s">
        <v>14</v>
      </c>
      <c r="C11" s="6">
        <f>SUM(C2:C8)</f>
        <v>3215</v>
      </c>
    </row>
    <row r="12">
      <c r="C12" s="6"/>
    </row>
    <row r="13">
      <c r="C13" s="6"/>
    </row>
    <row r="14">
      <c r="C14" s="6"/>
    </row>
    <row r="15">
      <c r="C15" s="6"/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</sheetData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18.88"/>
    <col customWidth="1" min="4" max="4" width="17.38"/>
    <col customWidth="1" min="6" max="6" width="26.0"/>
  </cols>
  <sheetData>
    <row r="1">
      <c r="A1" s="4" t="s">
        <v>15</v>
      </c>
      <c r="B1" s="4" t="s">
        <v>16</v>
      </c>
      <c r="C1" s="4" t="s">
        <v>1</v>
      </c>
      <c r="D1" s="4" t="s">
        <v>17</v>
      </c>
      <c r="E1" s="4" t="s">
        <v>18</v>
      </c>
      <c r="F1" s="4" t="s">
        <v>3</v>
      </c>
    </row>
    <row r="2">
      <c r="A2" s="4" t="s">
        <v>19</v>
      </c>
      <c r="B2" s="4" t="s">
        <v>20</v>
      </c>
      <c r="C2" s="5" t="s">
        <v>21</v>
      </c>
      <c r="D2" s="4">
        <v>71.97</v>
      </c>
      <c r="E2" s="4" t="s">
        <v>22</v>
      </c>
      <c r="H2" s="4" t="s">
        <v>23</v>
      </c>
    </row>
    <row r="3">
      <c r="B3" s="4" t="s">
        <v>24</v>
      </c>
      <c r="F3" s="4" t="s">
        <v>25</v>
      </c>
      <c r="H3" s="4" t="s">
        <v>26</v>
      </c>
      <c r="J3" s="4" t="s">
        <v>27</v>
      </c>
    </row>
    <row r="4">
      <c r="H4" s="4" t="s">
        <v>28</v>
      </c>
    </row>
    <row r="5">
      <c r="H5" s="4" t="s">
        <v>29</v>
      </c>
    </row>
    <row r="6">
      <c r="A6" s="4" t="s">
        <v>30</v>
      </c>
      <c r="B6" s="4" t="s">
        <v>31</v>
      </c>
      <c r="F6" s="4" t="s">
        <v>32</v>
      </c>
    </row>
    <row r="7">
      <c r="A7" s="4" t="s">
        <v>33</v>
      </c>
      <c r="B7" s="4" t="s">
        <v>34</v>
      </c>
      <c r="C7" s="4">
        <v>2500.0</v>
      </c>
      <c r="E7" s="4">
        <v>2500.0</v>
      </c>
      <c r="F7" s="4">
        <v>2500.0</v>
      </c>
      <c r="I7" s="5" t="s">
        <v>35</v>
      </c>
    </row>
    <row r="8">
      <c r="B8" s="4" t="s">
        <v>8</v>
      </c>
      <c r="C8" s="4">
        <v>26.0</v>
      </c>
      <c r="D8" s="4" t="s">
        <v>36</v>
      </c>
      <c r="E8" s="4">
        <v>26.0</v>
      </c>
      <c r="F8" s="4">
        <v>26.0</v>
      </c>
    </row>
    <row r="9">
      <c r="B9" s="4" t="s">
        <v>9</v>
      </c>
      <c r="C9" s="4">
        <v>4.0</v>
      </c>
      <c r="E9" s="8">
        <f> 4</f>
        <v>4</v>
      </c>
      <c r="F9" s="4">
        <v>4.0</v>
      </c>
    </row>
    <row r="10">
      <c r="B10" s="4" t="s">
        <v>10</v>
      </c>
      <c r="C10" s="4">
        <v>4.0</v>
      </c>
      <c r="E10" s="8">
        <f>C10 * 3</f>
        <v>12</v>
      </c>
      <c r="F10" s="8">
        <f>C10 * 1</f>
        <v>4</v>
      </c>
    </row>
    <row r="11">
      <c r="B11" s="4" t="s">
        <v>37</v>
      </c>
      <c r="C11" s="4">
        <v>250.0</v>
      </c>
      <c r="E11" s="4">
        <v>250.0</v>
      </c>
      <c r="F11" s="4">
        <v>50.0</v>
      </c>
    </row>
    <row r="12">
      <c r="B12" s="4" t="s">
        <v>38</v>
      </c>
      <c r="C12" s="4">
        <v>200.0</v>
      </c>
      <c r="D12" s="4" t="s">
        <v>39</v>
      </c>
      <c r="E12" s="4">
        <v>400.0</v>
      </c>
      <c r="F12" s="4" t="s">
        <v>40</v>
      </c>
    </row>
    <row r="13">
      <c r="B13" s="4" t="s">
        <v>12</v>
      </c>
      <c r="C13" s="4">
        <v>500.0</v>
      </c>
      <c r="E13" s="4">
        <v>500.0</v>
      </c>
      <c r="F13" s="4">
        <v>500.0</v>
      </c>
    </row>
    <row r="15">
      <c r="C15" s="8">
        <f>SUM(C7:C13)</f>
        <v>3484</v>
      </c>
      <c r="E15" s="8">
        <f>SUM(E7:E13)</f>
        <v>3692</v>
      </c>
      <c r="F15" s="4" t="s">
        <v>41</v>
      </c>
    </row>
    <row r="16">
      <c r="B16" s="4" t="s">
        <v>42</v>
      </c>
    </row>
  </sheetData>
  <hyperlinks>
    <hyperlink r:id="rId1" ref="C2"/>
    <hyperlink r:id="rId2" ref="I7"/>
  </hyperlinks>
  <drawing r:id="rId3"/>
</worksheet>
</file>